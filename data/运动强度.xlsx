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<sst xmlns="http://schemas.openxmlformats.org/spreadsheetml/2006/main" count="54" uniqueCount="34">
  <si>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activity</t>
  </si>
  <si>
    <t>MET</t>
  </si>
  <si>
    <t>intensity</t>
  </si>
  <si>
    <t>activity_coefficient</t>
  </si>
  <si>
    <t>tri_1st_ok</t>
  </si>
  <si>
    <t>tri_2nd_ok</t>
  </si>
  <si>
    <t>tri_3rd_ok</t>
  </si>
  <si>
    <t>icon</t>
  </si>
  <si>
    <t>icon_type</t>
  </si>
  <si>
    <t>exercise_category</t>
  </si>
  <si>
    <t>散步</t>
  </si>
  <si>
    <t>https://resource-miying.oss-cn-beijing.aliyuncs.com/data_department/motion/%E8%BF%90%E5%8A%A8%E5%9B%BE%E7%89%87/%E6%95%A3%E6%AD%A5.png</t>
  </si>
  <si>
    <t>image</t>
  </si>
  <si>
    <t>固定自行车</t>
  </si>
  <si>
    <t>https://resource-miying.oss-cn-beijing.aliyuncs.com/data_department/motion/%E8%BF%90%E5%8A%A8%E5%9B%BE%E7%89%87/%E5%9B%BA%E5%AE%9A%E8%87%AA%E8%A1%8C%E8%BD%A6.png</t>
  </si>
  <si>
    <t>抗阻训练</t>
  </si>
  <si>
    <t>https://resource-miying.oss-cn-beijing.aliyuncs.com/data_department/motion/%E8%BF%90%E5%8A%A8%E5%9B%BE%E7%89%87/%E6%8A%97%E9%98%BB%E8%AE%AD%E7%BB%83.png</t>
  </si>
  <si>
    <t>孕妇瑜伽</t>
  </si>
  <si>
    <t>https://resource-miying.oss-cn-beijing.aliyuncs.com/data_department/motion/%E8%BF%90%E5%8A%A8%E5%9B%BE%E7%89%87/%E5%AD%95%E5%A6%87%E7%91%9C%E4%BC%BD.png</t>
  </si>
  <si>
    <t>孕妇有氧健身操</t>
  </si>
  <si>
    <t>https://resource-miying.oss-cn-beijing.aliyuncs.com/data_department/motion/%E8%BF%90%E5%8A%A8%E5%9B%BE%E7%89%87/%E5%AD%95%E5%A6%87%E5%81%A5%E8%BA%AB%E6%93%8D.png</t>
  </si>
  <si>
    <t>孕妇有氧舞蹈</t>
  </si>
  <si>
    <t>https://resource-miying.oss-cn-beijing.aliyuncs.com/data_department/motion/%E8%BF%90%E5%8A%A8%E5%9B%BE%E7%89%87/%E5%AD%95%E5%A6%87%E8%88%9E%E8%B9%88.png</t>
  </si>
  <si>
    <t>凯格尔运动</t>
  </si>
  <si>
    <t>https://resource-miying.oss-cn-beijing.aliyuncs.com/data_department/motion/%E8%BF%90%E5%8A%A8%E5%9B%BE%E7%89%87/%E5%87%AF%E6%A0%BC%E5%B0%94%E8%BF%90%E5%8A%A8.png</t>
  </si>
  <si>
    <t>普拉提</t>
  </si>
  <si>
    <t>https://resource-miying.oss-cn-beijing.aliyuncs.com/data_department/motion/%E8%BF%90%E5%8A%A8%E5%9B%BE%E7%89%87/%E6%99%AE%E6%8B%89%E6%8F%90.png</t>
  </si>
  <si>
    <t>拉伸</t>
  </si>
  <si>
    <t>https://resource-miying.oss-cn-beijing.aliyuncs.com/data_department/motion/%E8%BF%90%E5%8A%A8%E5%9B%BE%E7%89%87/%E6%8B%89%E4%BC%B8.png</t>
  </si>
  <si>
    <t>游泳</t>
  </si>
  <si>
    <t>https://resource-miying.oss-cn-beijing.aliyuncs.com/data_department/motion/%E8%BF%90%E5%8A%A8%E5%9B%BE%E7%89%87/%E6%B8%B8%E6%B3%B3.png</t>
  </si>
  <si>
    <t>左右扭转操</t>
  </si>
  <si>
    <t>https://resource-miying.oss-cn-beijing.aliyuncs.com/data_department/motion/%E8%BF%90%E5%8A%A8%E5%9B%BE%E7%89%87/%E6%8B%89%E4%BC%B8.MP4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</si>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</sst>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3">
    <font>
      <sz val="11"/>
      <color theme="1"/>
      <name val="宋体"/>
      <charset val="134"/>
      <scheme val="minor"/>
    </font>
    <font>
      <b/>
      <sz val="10.5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5.5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6" fontId="4" fillId="0" borderId="0" xfId="6" applyNumberFormat="1" applyFont="1">
      <alignment vertical="center"/>
    </xf>
    <xf numFmtId="176" fontId="5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esource-miying.oss-cn-beijing.aliyuncs.com/data_department/motion/%E8%BF%90%E5%8A%A8%E5%9B%BE%E7%89%87/%E5%87%AF%E6%A0%BC%E5%B0%94%E8%BF%90%E5%8A%A8.png" TargetMode="External"/><Relationship Id="rId8" Type="http://schemas.openxmlformats.org/officeDocument/2006/relationships/hyperlink" Target="https://resource-miying.oss-cn-beijing.aliyuncs.com/data_department/motion/%E8%BF%90%E5%8A%A8%E5%9B%BE%E7%89%87/%E5%9B%BA%E5%AE%9A%E8%87%AA%E8%A1%8C%E8%BD%A6.png" TargetMode="External"/><Relationship Id="rId7" Type="http://schemas.openxmlformats.org/officeDocument/2006/relationships/hyperlink" Target="https://resource-miying.oss-cn-beijing.aliyuncs.com/data_department/motion/%E8%BF%90%E5%8A%A8%E5%9B%BE%E7%89%87/%E5%AD%95%E5%A6%87%E5%81%A5%E8%BA%AB%E6%93%8D.png" TargetMode="External"/><Relationship Id="rId6" Type="http://schemas.openxmlformats.org/officeDocument/2006/relationships/hyperlink" Target="https://resource-miying.oss-cn-beijing.aliyuncs.com/data_department/motion/%E8%BF%90%E5%8A%A8%E5%9B%BE%E7%89%87/%E5%AD%95%E5%A6%87%E7%91%9C%E4%BC%BD.png" TargetMode="External"/><Relationship Id="rId5" Type="http://schemas.openxmlformats.org/officeDocument/2006/relationships/hyperlink" Target="https://resource-miying.oss-cn-beijing.aliyuncs.com/data_department/motion/%E8%BF%90%E5%8A%A8%E5%9B%BE%E7%89%87/%E5%AD%95%E5%A6%87%E8%88%9E%E8%B9%88.png" TargetMode="External"/><Relationship Id="rId4" Type="http://schemas.openxmlformats.org/officeDocument/2006/relationships/hyperlink" Target="https://resource-miying.oss-cn-beijing.aliyuncs.com/data_department/motion/%E8%BF%90%E5%8A%A8%E5%9B%BE%E7%89%87/%E6%8A%97%E9%98%BB%E8%AE%AD%E7%BB%83.png" TargetMode="External"/><Relationship Id="rId3" Type="http://schemas.openxmlformats.org/officeDocument/2006/relationships/hyperlink" Target="https://resource-miying.oss-cn-beijing.aliyuncs.com/data_department/motion/%E8%BF%90%E5%8A%A8%E5%9B%BE%E7%89%87/%E6%8B%89%E4%BC%B8.png" TargetMode="External"/><Relationship Id="rId2" Type="http://schemas.openxmlformats.org/officeDocument/2006/relationships/hyperlink" Target="https://resource-miying.oss-cn-beijing.aliyuncs.com/data_department/motion/%E8%BF%90%E5%8A%A8%E5%9B%BE%E7%89%87/%E6%95%A3%E6%AD%A5.png" TargetMode="External"/><Relationship Id="rId10" Type="http://schemas.openxmlformats.org/officeDocument/2006/relationships/hyperlink" Target="https://resource-miying.oss-cn-beijing.aliyuncs.com/data_department/motion/%E8%BF%90%E5%8A%A8%E5%9B%BE%E7%89%87/%E6%8B%89%E4%BC%B8.MP4" TargetMode="External"/><Relationship Id="rId1" Type="http://schemas.openxmlformats.org/officeDocument/2006/relationships/hyperlink" Target="https://resource-miying.oss-cn-beijing.aliyuncs.com/data_department/motion/%E8%BF%90%E5%8A%A8%E5%9B%BE%E7%89%87/%E6%B8%B8%E6%B3%B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20" zoomScaleNormal="120" workbookViewId="0">
      <selection activeCell="H14" sqref="H14"/>
    </sheetView>
  </sheetViews>
  <sheetFormatPr defaultColWidth="9" defaultRowHeight="13.5"/>
  <cols>
    <col min="1" max="1" width="21.125" customWidth="1"/>
    <col min="2" max="2" width="9.875"/>
    <col min="3" max="3" width="14.875" style="1" customWidth="1"/>
    <col min="4" max="4" width="23.125" customWidth="1"/>
    <col min="5" max="5" width="13.4333333333333" customWidth="1"/>
    <col min="6" max="7" width="11.5" style="2" customWidth="1"/>
    <col min="8" max="8" width="15.625" style="2" customWidth="1"/>
    <col min="9" max="9" width="16" customWidth="1"/>
    <col min="10" max="10" width="18.75" customWidth="1"/>
  </cols>
  <sheetData>
    <row r="1" ht="27" spans="1:10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5" t="s">
        <v>9</v>
      </c>
    </row>
    <row r="2" ht="20.25" spans="1:10">
      <c r="A2" s="6" t="s">
        <v>10</v>
      </c>
      <c r="B2" s="7">
        <v>3.3</v>
      </c>
      <c r="C2" s="8" t="str">
        <f>IF(B2&lt;=1.5,"静态行为",IF(B2&lt;=2.9,"低","中"))</f>
        <v>中</v>
      </c>
      <c r="D2" s="8">
        <f>IF(B2&lt;=1.5,1.2,IF(B2&lt;=2.9,1.375,1.55))</f>
        <v>1.55</v>
      </c>
      <c r="E2" s="8">
        <v>1</v>
      </c>
      <c r="F2" s="8">
        <v>1</v>
      </c>
      <c r="G2" s="8">
        <v>1</v>
      </c>
      <c r="H2" s="9" t="s">
        <v>11</v>
      </c>
      <c r="I2" s="6" t="s">
        <v>12</v>
      </c>
      <c r="J2" s="6" t="s">
        <v>10</v>
      </c>
    </row>
    <row r="3" ht="20.25" spans="1:10">
      <c r="A3" s="6" t="s">
        <v>13</v>
      </c>
      <c r="B3" s="7">
        <v>3.7</v>
      </c>
      <c r="C3" s="8" t="str">
        <f t="shared" ref="C3:C12" si="0">IF(B3&lt;=1.5,"静态行为",IF(B3&lt;=2.9,"低","中"))</f>
        <v>中</v>
      </c>
      <c r="D3" s="8">
        <f t="shared" ref="D3:D12" si="1">IF(B3&lt;=1.5,1.2,IF(B3&lt;=2.9,1.375,1.55))</f>
        <v>1.55</v>
      </c>
      <c r="E3" s="8">
        <v>0</v>
      </c>
      <c r="F3" s="8">
        <v>1</v>
      </c>
      <c r="G3" s="8">
        <v>0</v>
      </c>
      <c r="H3" s="10" t="s">
        <v>14</v>
      </c>
      <c r="I3" s="6" t="s">
        <v>12</v>
      </c>
      <c r="J3" s="6" t="s">
        <v>13</v>
      </c>
    </row>
    <row r="4" ht="20.25" spans="1:10">
      <c r="A4" s="6" t="s">
        <v>15</v>
      </c>
      <c r="B4" s="7">
        <v>4.2</v>
      </c>
      <c r="C4" s="8" t="str">
        <f t="shared" si="0"/>
        <v>中</v>
      </c>
      <c r="D4" s="8">
        <f t="shared" si="1"/>
        <v>1.55</v>
      </c>
      <c r="E4" s="8">
        <v>0</v>
      </c>
      <c r="F4" s="8">
        <v>1</v>
      </c>
      <c r="G4" s="8">
        <v>0</v>
      </c>
      <c r="H4" s="10" t="s">
        <v>16</v>
      </c>
      <c r="I4" s="6" t="s">
        <v>12</v>
      </c>
      <c r="J4" s="6" t="s">
        <v>15</v>
      </c>
    </row>
    <row r="5" ht="20.25" spans="1:10">
      <c r="A5" s="6" t="s">
        <v>17</v>
      </c>
      <c r="B5" s="7">
        <v>3.4</v>
      </c>
      <c r="C5" s="8" t="str">
        <f t="shared" si="0"/>
        <v>中</v>
      </c>
      <c r="D5" s="8">
        <f t="shared" si="1"/>
        <v>1.55</v>
      </c>
      <c r="E5" s="8">
        <v>1</v>
      </c>
      <c r="F5" s="8">
        <v>1</v>
      </c>
      <c r="G5" s="8">
        <v>1</v>
      </c>
      <c r="H5" s="10" t="s">
        <v>18</v>
      </c>
      <c r="I5" s="6" t="s">
        <v>12</v>
      </c>
      <c r="J5" s="6" t="s">
        <v>17</v>
      </c>
    </row>
    <row r="6" ht="20.25" spans="1:10">
      <c r="A6" s="6" t="s">
        <v>19</v>
      </c>
      <c r="B6" s="7">
        <v>4.1</v>
      </c>
      <c r="C6" s="8" t="str">
        <f t="shared" si="0"/>
        <v>中</v>
      </c>
      <c r="D6" s="8">
        <f t="shared" si="1"/>
        <v>1.55</v>
      </c>
      <c r="E6" s="8">
        <v>0</v>
      </c>
      <c r="F6" s="8">
        <v>1</v>
      </c>
      <c r="G6" s="8">
        <v>1</v>
      </c>
      <c r="H6" s="10" t="s">
        <v>20</v>
      </c>
      <c r="I6" s="6" t="s">
        <v>12</v>
      </c>
      <c r="J6" s="6" t="s">
        <v>19</v>
      </c>
    </row>
    <row r="7" ht="20.25" spans="1:10">
      <c r="A7" s="6" t="s">
        <v>21</v>
      </c>
      <c r="B7" s="7">
        <v>4.3</v>
      </c>
      <c r="C7" s="8" t="str">
        <f t="shared" si="0"/>
        <v>中</v>
      </c>
      <c r="D7" s="8">
        <f t="shared" si="1"/>
        <v>1.55</v>
      </c>
      <c r="E7" s="8">
        <v>0</v>
      </c>
      <c r="F7" s="8">
        <v>1</v>
      </c>
      <c r="G7" s="8">
        <v>0</v>
      </c>
      <c r="H7" s="10" t="s">
        <v>22</v>
      </c>
      <c r="I7" s="6" t="s">
        <v>12</v>
      </c>
      <c r="J7" s="6" t="s">
        <v>21</v>
      </c>
    </row>
    <row r="8" ht="20.25" spans="1:10">
      <c r="A8" s="6" t="s">
        <v>23</v>
      </c>
      <c r="B8" s="7">
        <v>2.3</v>
      </c>
      <c r="C8" s="8" t="str">
        <f t="shared" si="0"/>
        <v>低</v>
      </c>
      <c r="D8" s="8">
        <f t="shared" si="1"/>
        <v>1.375</v>
      </c>
      <c r="E8" s="8">
        <v>1</v>
      </c>
      <c r="F8" s="8">
        <v>1</v>
      </c>
      <c r="G8" s="8">
        <v>1</v>
      </c>
      <c r="H8" s="10" t="s">
        <v>24</v>
      </c>
      <c r="I8" s="6" t="s">
        <v>12</v>
      </c>
      <c r="J8" s="6" t="s">
        <v>23</v>
      </c>
    </row>
    <row r="9" ht="20.25" spans="1:10">
      <c r="A9" s="6" t="s">
        <v>25</v>
      </c>
      <c r="B9" s="7">
        <v>4</v>
      </c>
      <c r="C9" s="8" t="str">
        <f t="shared" si="0"/>
        <v>中</v>
      </c>
      <c r="D9" s="8">
        <f t="shared" si="1"/>
        <v>1.55</v>
      </c>
      <c r="E9" s="8">
        <v>0</v>
      </c>
      <c r="F9" s="8">
        <v>1</v>
      </c>
      <c r="G9" s="8">
        <v>1</v>
      </c>
      <c r="H9" s="9" t="s">
        <v>26</v>
      </c>
      <c r="I9" s="6" t="s">
        <v>12</v>
      </c>
      <c r="J9" s="6" t="s">
        <v>25</v>
      </c>
    </row>
    <row r="10" ht="20.25" spans="1:10">
      <c r="A10" s="6" t="s">
        <v>27</v>
      </c>
      <c r="B10" s="7">
        <v>2.5</v>
      </c>
      <c r="C10" s="8" t="str">
        <f t="shared" si="0"/>
        <v>低</v>
      </c>
      <c r="D10" s="8">
        <f t="shared" si="1"/>
        <v>1.375</v>
      </c>
      <c r="E10" s="8">
        <v>1</v>
      </c>
      <c r="F10" s="8">
        <v>1</v>
      </c>
      <c r="G10" s="8">
        <v>1</v>
      </c>
      <c r="H10" s="10" t="s">
        <v>28</v>
      </c>
      <c r="I10" s="6" t="s">
        <v>12</v>
      </c>
      <c r="J10" s="6" t="s">
        <v>27</v>
      </c>
    </row>
    <row r="11" ht="20.25" spans="1:10">
      <c r="A11" s="6" t="s">
        <v>29</v>
      </c>
      <c r="B11" s="7">
        <v>5</v>
      </c>
      <c r="C11" s="8" t="str">
        <f t="shared" si="0"/>
        <v>中</v>
      </c>
      <c r="D11" s="8">
        <f t="shared" si="1"/>
        <v>1.55</v>
      </c>
      <c r="E11" s="8">
        <v>0</v>
      </c>
      <c r="F11" s="8">
        <v>1</v>
      </c>
      <c r="G11" s="8">
        <v>0</v>
      </c>
      <c r="H11" s="9" t="s">
        <v>30</v>
      </c>
      <c r="I11" s="6" t="s">
        <v>12</v>
      </c>
      <c r="J11" s="6" t="s">
        <v>29</v>
      </c>
    </row>
    <row r="12" ht="16" customHeight="1" spans="1:10">
      <c r="A12" s="6" t="s">
        <v>31</v>
      </c>
      <c r="B12" s="7">
        <v>2.3</v>
      </c>
      <c r="C12" s="8" t="str">
        <f t="shared" si="0"/>
        <v>低</v>
      </c>
      <c r="D12" s="8">
        <f t="shared" si="1"/>
        <v>1.375</v>
      </c>
      <c r="E12" s="8">
        <v>1</v>
      </c>
      <c r="F12" s="8">
        <v>1</v>
      </c>
      <c r="G12" s="8">
        <v>1</v>
      </c>
      <c r="H12" s="9" t="s">
        <v>32</v>
      </c>
      <c r="I12" s="6" t="s">
        <v>33</v>
      </c>
      <c r="J12" s="6" t="s">
        <v>27</v>
      </c>
    </row>
  </sheetData>
  <hyperlinks>
    <hyperlink ref="H11" r:id="rId1" display="https://resource-miying.oss-cn-beijing.aliyuncs.com/data_department/motion/%E8%BF%90%E5%8A%A8%E5%9B%BE%E7%89%87/%E6%B8%B8%E6%B3%B3.png"/>
    <hyperlink ref="H2" r:id="rId2" display="https://resource-miying.oss-cn-beijing.aliyuncs.com/data_department/motion/%E8%BF%90%E5%8A%A8%E5%9B%BE%E7%89%87/%E6%95%A3%E6%AD%A5.png"/>
    <hyperlink ref="H10" r:id="rId3" display="https://resource-miying.oss-cn-beijing.aliyuncs.com/data_department/motion/%E8%BF%90%E5%8A%A8%E5%9B%BE%E7%89%87/%E6%8B%89%E4%BC%B8.png"/>
    <hyperlink ref="H4" r:id="rId4" display="https://resource-miying.oss-cn-beijing.aliyuncs.com/data_department/motion/%E8%BF%90%E5%8A%A8%E5%9B%BE%E7%89%87/%E6%8A%97%E9%98%BB%E8%AE%AD%E7%BB%83.png"/>
    <hyperlink ref="H7" r:id="rId5" display="https://resource-miying.oss-cn-beijing.aliyuncs.com/data_department/motion/%E8%BF%90%E5%8A%A8%E5%9B%BE%E7%89%87/%E5%AD%95%E5%A6%87%E8%88%9E%E8%B9%88.png"/>
    <hyperlink ref="H5" r:id="rId6" display="https://resource-miying.oss-cn-beijing.aliyuncs.com/data_department/motion/%E8%BF%90%E5%8A%A8%E5%9B%BE%E7%89%87/%E5%AD%95%E5%A6%87%E7%91%9C%E4%BC%BD.png"/>
    <hyperlink ref="H6" r:id="rId7" display="https://resource-miying.oss-cn-beijing.aliyuncs.com/data_department/motion/%E8%BF%90%E5%8A%A8%E5%9B%BE%E7%89%87/%E5%AD%95%E5%A6%87%E5%81%A5%E8%BA%AB%E6%93%8D.png"/>
    <hyperlink ref="H3" r:id="rId8" display="https://resource-miying.oss-cn-beijing.aliyuncs.com/data_department/motion/%E8%BF%90%E5%8A%A8%E5%9B%BE%E7%89%87/%E5%9B%BA%E5%AE%9A%E8%87%AA%E8%A1%8C%E8%BD%A6.png"/>
    <hyperlink ref="H8" r:id="rId9" display="https://resource-miying.oss-cn-beijing.aliyuncs.com/data_department/motion/%E8%BF%90%E5%8A%A8%E5%9B%BE%E7%89%87/%E5%87%AF%E6%A0%BC%E5%B0%94%E8%BF%90%E5%8A%A8.png"/>
    <hyperlink ref="H12" r:id="rId10" display="https://resource-miying.oss-cn-beijing.aliyuncs.com/data_department/motion/%E8%BF%90%E5%8A%A8%E5%9B%BE%E7%89%87/%E6%8B%89%E4%BC%B8.MP4" tooltip="https://resource-miying.oss-cn-beijing.aliyuncs.com/data_department/motion/%E8%BF%90%E5%8A%A8%E5%9B%BE%E7%89%87/%E6%8B%89%E4%BC%B8.MP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浮生绘毕繁华卷</cp:lastModifiedBy>
  <dcterms:created xsi:type="dcterms:W3CDTF">2025-06-23T10:08:00Z</dcterms:created>
  <dcterms:modified xsi:type="dcterms:W3CDTF">2025-07-28T03:37:42Z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8548E05E09B142F78B1A8AEC11075A2C_13</vt:lpwstr>
  </property>
  <property fmtid="{D5CDD505-2E9C-101B-9397-08002B2CF9AE}" pid="3" name="KSOProductBuildVer">
    <vt:lpwstr>2052-12.1.0.21915</vt:lpwstr>
  </property>
</Properties>
</file>